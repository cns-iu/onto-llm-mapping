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inda\Documents\HuBMAP\onto-llm-mapping\validation\mesh-uberon-human\v0.0.1\manual-processed-results\"/>
    </mc:Choice>
  </mc:AlternateContent>
  <xr:revisionPtr revIDLastSave="0" documentId="13_ncr:1_{2E84411A-0606-4B45-AF32-F338A40FBC9E}" xr6:coauthVersionLast="47" xr6:coauthVersionMax="47" xr10:uidLastSave="{00000000-0000-0000-0000-000000000000}"/>
  <bookViews>
    <workbookView xWindow="-108" yWindow="-108" windowWidth="23256" windowHeight="13896" xr2:uid="{06194261-0D05-4C1C-9B37-4085E139BFAA}"/>
  </bookViews>
  <sheets>
    <sheet name="VennDiagram_TaxonOverlap" sheetId="5" r:id="rId1"/>
    <sheet name="VennDiagram_vis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5" l="1"/>
  <c r="C16" i="5" s="1"/>
  <c r="F26" i="5" s="1"/>
  <c r="B6" i="5"/>
  <c r="C13" i="5"/>
  <c r="D13" i="5"/>
  <c r="B13" i="5"/>
  <c r="D18" i="5" l="1"/>
  <c r="G28" i="5" s="1"/>
  <c r="B16" i="5"/>
  <c r="B17" i="5"/>
  <c r="B18" i="5"/>
  <c r="C18" i="5"/>
  <c r="F28" i="5" s="1"/>
  <c r="C17" i="5"/>
  <c r="F27" i="5" s="1"/>
  <c r="D17" i="5"/>
  <c r="G27" i="5" s="1"/>
</calcChain>
</file>

<file path=xl/sharedStrings.xml><?xml version="1.0" encoding="utf-8"?>
<sst xmlns="http://schemas.openxmlformats.org/spreadsheetml/2006/main" count="61" uniqueCount="41">
  <si>
    <t>Mesh</t>
  </si>
  <si>
    <t>Uberon</t>
  </si>
  <si>
    <t>CL</t>
  </si>
  <si>
    <t>Mapped_As</t>
  </si>
  <si>
    <t>Mapped_CL</t>
  </si>
  <si>
    <t>No_Map_CL</t>
  </si>
  <si>
    <t>No_Map_AS</t>
  </si>
  <si>
    <t>Area</t>
  </si>
  <si>
    <t>Free</t>
  </si>
  <si>
    <t>MeSH</t>
  </si>
  <si>
    <t>UBERON</t>
  </si>
  <si>
    <t>Cell Ontology</t>
  </si>
  <si>
    <t xml:space="preserve">  2,813 Total concepts</t>
  </si>
  <si>
    <t xml:space="preserve">  12,751 Total concepts</t>
  </si>
  <si>
    <t xml:space="preserve">  1,113 Total concepts</t>
  </si>
  <si>
    <t xml:space="preserve">  Cell Ontology (CL) HRA Subset</t>
  </si>
  <si>
    <t xml:space="preserve">  UBERON (UB) Human Subset</t>
  </si>
  <si>
    <t xml:space="preserve">  MeSH (MS) Select Anatomy Subset</t>
  </si>
  <si>
    <t>Total</t>
  </si>
  <si>
    <t>No_map_Other</t>
  </si>
  <si>
    <t>Total Concepts</t>
  </si>
  <si>
    <t>Total Area concepts with overlaps</t>
  </si>
  <si>
    <t>Calc_Area_Free</t>
  </si>
  <si>
    <t>Calc_Area_Overlap_MESH</t>
  </si>
  <si>
    <t>Target Area</t>
  </si>
  <si>
    <t>Percent_Free</t>
  </si>
  <si>
    <t>Percent_Overlap</t>
  </si>
  <si>
    <t>Percent Relative Area</t>
  </si>
  <si>
    <t>Relative Area</t>
  </si>
  <si>
    <t>Overlap_mesh</t>
  </si>
  <si>
    <t xml:space="preserve">  2,665 Unmapped (94.7% CL)</t>
  </si>
  <si>
    <t>Test target areas</t>
  </si>
  <si>
    <t>06/06/2025 Version</t>
  </si>
  <si>
    <t xml:space="preserve">  863 UB Mappings (6.8% UB; 77.5% MS)</t>
  </si>
  <si>
    <t xml:space="preserve">  148 CL Mappings (5.3% CL; 13.3% MS)</t>
  </si>
  <si>
    <t xml:space="preserve">  102 Unmapped (9.2% MS)</t>
  </si>
  <si>
    <t xml:space="preserve">  11,888 Unmapped (93.2% UB)</t>
  </si>
  <si>
    <t>Taxonomy</t>
  </si>
  <si>
    <t>Venn Diagram Area Projectsions</t>
  </si>
  <si>
    <t>Raw Area Calcs</t>
  </si>
  <si>
    <t>Rounded Area 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</si>
</sst>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6"/>
      <color theme="1"/>
      <name val="Arial"/>
      <family val="2"/>
    </font>
    <font>
      <b/>
      <sz val="18"/>
      <color theme="1"/>
      <name val="Arial"/>
      <family val="2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16"/>
      <color rgb="FFFF000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0" fillId="34" borderId="0" xfId="0" applyFill="1"/>
    <xf numFmtId="0" fontId="0" fillId="0" borderId="0" xfId="0" applyFill="1" applyBorder="1"/>
    <xf numFmtId="9" fontId="18" fillId="0" borderId="0" xfId="42" applyFont="1" applyFill="1" applyBorder="1"/>
    <xf numFmtId="0" fontId="0" fillId="34" borderId="0" xfId="0" applyFill="1" applyBorder="1"/>
    <xf numFmtId="3" fontId="19" fillId="33" borderId="0" xfId="0" applyNumberFormat="1" applyFont="1" applyFill="1" applyBorder="1" applyAlignment="1">
      <alignment horizontal="left" vertical="top"/>
    </xf>
    <xf numFmtId="0" fontId="0" fillId="34" borderId="0" xfId="0" applyFont="1" applyFill="1"/>
    <xf numFmtId="0" fontId="0" fillId="33" borderId="11" xfId="0" applyFont="1" applyFill="1" applyBorder="1"/>
    <xf numFmtId="0" fontId="0" fillId="33" borderId="12" xfId="0" applyFont="1" applyFill="1" applyBorder="1"/>
    <xf numFmtId="0" fontId="0" fillId="35" borderId="13" xfId="0" applyFont="1" applyFill="1" applyBorder="1"/>
    <xf numFmtId="0" fontId="0" fillId="35" borderId="0" xfId="0" applyFont="1" applyFill="1" applyBorder="1"/>
    <xf numFmtId="0" fontId="0" fillId="33" borderId="0" xfId="0" applyFont="1" applyFill="1" applyBorder="1"/>
    <xf numFmtId="0" fontId="0" fillId="33" borderId="14" xfId="0" applyFont="1" applyFill="1" applyBorder="1"/>
    <xf numFmtId="0" fontId="0" fillId="33" borderId="13" xfId="0" applyFont="1" applyFill="1" applyBorder="1"/>
    <xf numFmtId="0" fontId="0" fillId="33" borderId="24" xfId="0" applyFont="1" applyFill="1" applyBorder="1"/>
    <xf numFmtId="0" fontId="0" fillId="33" borderId="15" xfId="0" applyFont="1" applyFill="1" applyBorder="1"/>
    <xf numFmtId="0" fontId="0" fillId="33" borderId="16" xfId="0" applyFont="1" applyFill="1" applyBorder="1"/>
    <xf numFmtId="0" fontId="20" fillId="36" borderId="10" xfId="0" applyFont="1" applyFill="1" applyBorder="1" applyAlignment="1">
      <alignment horizontal="left"/>
    </xf>
    <xf numFmtId="0" fontId="20" fillId="36" borderId="13" xfId="0" applyFont="1" applyFill="1" applyBorder="1" applyAlignment="1">
      <alignment horizontal="left" vertical="center"/>
    </xf>
    <xf numFmtId="3" fontId="19" fillId="36" borderId="13" xfId="0" applyNumberFormat="1" applyFont="1" applyFill="1" applyBorder="1" applyAlignment="1">
      <alignment horizontal="left" vertical="top"/>
    </xf>
    <xf numFmtId="0" fontId="20" fillId="34" borderId="0" xfId="0" applyFont="1" applyFill="1" applyBorder="1" applyAlignment="1">
      <alignment horizontal="left"/>
    </xf>
    <xf numFmtId="0" fontId="20" fillId="34" borderId="0" xfId="0" applyFont="1" applyFill="1" applyBorder="1" applyAlignment="1">
      <alignment horizontal="left" vertical="center"/>
    </xf>
    <xf numFmtId="0" fontId="19" fillId="34" borderId="0" xfId="0" applyFont="1" applyFill="1" applyBorder="1" applyAlignment="1">
      <alignment horizontal="left" vertical="center"/>
    </xf>
    <xf numFmtId="0" fontId="19" fillId="34" borderId="0" xfId="0" applyFont="1" applyFill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20" fillId="33" borderId="11" xfId="0" applyFont="1" applyFill="1" applyBorder="1" applyAlignment="1">
      <alignment horizontal="left"/>
    </xf>
    <xf numFmtId="3" fontId="20" fillId="33" borderId="0" xfId="0" applyNumberFormat="1" applyFont="1" applyFill="1" applyBorder="1" applyAlignment="1">
      <alignment vertical="center"/>
    </xf>
    <xf numFmtId="0" fontId="0" fillId="35" borderId="17" xfId="0" applyFont="1" applyFill="1" applyBorder="1"/>
    <xf numFmtId="0" fontId="0" fillId="35" borderId="21" xfId="0" applyFont="1" applyFill="1" applyBorder="1"/>
    <xf numFmtId="0" fontId="0" fillId="35" borderId="22" xfId="0" applyFont="1" applyFill="1" applyBorder="1"/>
    <xf numFmtId="0" fontId="0" fillId="35" borderId="0" xfId="0" applyFill="1" applyBorder="1"/>
    <xf numFmtId="0" fontId="0" fillId="37" borderId="18" xfId="0" applyFont="1" applyFill="1" applyBorder="1"/>
    <xf numFmtId="0" fontId="0" fillId="37" borderId="19" xfId="0" applyFont="1" applyFill="1" applyBorder="1"/>
    <xf numFmtId="0" fontId="0" fillId="35" borderId="28" xfId="0" applyFont="1" applyFill="1" applyBorder="1"/>
    <xf numFmtId="0" fontId="0" fillId="35" borderId="20" xfId="0" applyFont="1" applyFill="1" applyBorder="1"/>
    <xf numFmtId="0" fontId="0" fillId="35" borderId="23" xfId="0" applyFont="1" applyFill="1" applyBorder="1"/>
    <xf numFmtId="0" fontId="0" fillId="34" borderId="0" xfId="0" applyFont="1" applyFill="1" applyBorder="1"/>
    <xf numFmtId="0" fontId="0" fillId="36" borderId="11" xfId="0" applyFont="1" applyFill="1" applyBorder="1"/>
    <xf numFmtId="0" fontId="0" fillId="36" borderId="12" xfId="0" applyFont="1" applyFill="1" applyBorder="1"/>
    <xf numFmtId="0" fontId="0" fillId="36" borderId="0" xfId="0" applyFont="1" applyFill="1" applyBorder="1"/>
    <xf numFmtId="0" fontId="0" fillId="36" borderId="14" xfId="0" applyFont="1" applyFill="1" applyBorder="1"/>
    <xf numFmtId="0" fontId="0" fillId="36" borderId="13" xfId="0" applyFont="1" applyFill="1" applyBorder="1"/>
    <xf numFmtId="0" fontId="0" fillId="38" borderId="25" xfId="0" applyFont="1" applyFill="1" applyBorder="1"/>
    <xf numFmtId="0" fontId="0" fillId="38" borderId="26" xfId="0" applyFont="1" applyFill="1" applyBorder="1"/>
    <xf numFmtId="0" fontId="0" fillId="36" borderId="24" xfId="0" applyFont="1" applyFill="1" applyBorder="1"/>
    <xf numFmtId="0" fontId="0" fillId="36" borderId="15" xfId="0" applyFont="1" applyFill="1" applyBorder="1"/>
    <xf numFmtId="0" fontId="0" fillId="38" borderId="27" xfId="0" applyFont="1" applyFill="1" applyBorder="1"/>
    <xf numFmtId="0" fontId="21" fillId="0" borderId="0" xfId="0" applyFont="1"/>
    <xf numFmtId="164" fontId="21" fillId="0" borderId="0" xfId="42" applyNumberFormat="1" applyFont="1"/>
    <xf numFmtId="164" fontId="21" fillId="0" borderId="0" xfId="42" applyNumberFormat="1" applyFont="1" applyFill="1" applyBorder="1"/>
    <xf numFmtId="0" fontId="21" fillId="0" borderId="0" xfId="0" applyFont="1" applyFill="1" applyBorder="1"/>
    <xf numFmtId="0" fontId="22" fillId="0" borderId="0" xfId="0" applyFont="1" applyFill="1" applyBorder="1" applyAlignment="1">
      <alignment vertical="center"/>
    </xf>
    <xf numFmtId="0" fontId="22" fillId="0" borderId="0" xfId="0" applyFont="1" applyFill="1" applyBorder="1" applyAlignment="1">
      <alignment horizontal="right" vertical="center"/>
    </xf>
    <xf numFmtId="0" fontId="22" fillId="0" borderId="0" xfId="0" applyFont="1" applyFill="1" applyBorder="1" applyAlignment="1">
      <alignment vertical="center" wrapText="1"/>
    </xf>
    <xf numFmtId="0" fontId="22" fillId="0" borderId="0" xfId="0" applyFont="1" applyFill="1" applyBorder="1"/>
    <xf numFmtId="9" fontId="22" fillId="0" borderId="0" xfId="42" applyFont="1" applyFill="1" applyBorder="1"/>
    <xf numFmtId="9" fontId="23" fillId="0" borderId="0" xfId="42" applyFont="1" applyFill="1" applyBorder="1"/>
    <xf numFmtId="9" fontId="21" fillId="0" borderId="0" xfId="42" applyFont="1" applyFill="1" applyBorder="1"/>
    <xf numFmtId="9" fontId="21" fillId="0" borderId="0" xfId="0" applyNumberFormat="1" applyFont="1"/>
    <xf numFmtId="0" fontId="22" fillId="0" borderId="0" xfId="0" applyFont="1"/>
    <xf numFmtId="0" fontId="24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CC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285751</xdr:colOff>
      <xdr:row>8</xdr:row>
      <xdr:rowOff>172357</xdr:rowOff>
    </xdr:from>
    <xdr:to>
      <xdr:col>10</xdr:col>
      <xdr:colOff>27216</xdr:colOff>
      <xdr:row>14</xdr:row>
      <xdr:rowOff>127003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A14D65FC-A94D-AA5E-4E7C-937923B32DC2}"/>
            </a:ext>
          </a:extLst>
        </xdr:cNvPr>
        <xdr:cNvCxnSpPr/>
      </xdr:nvCxnSpPr>
      <xdr:spPr>
        <a:xfrm rot="5400000">
          <a:off x="22515286" y="2620510"/>
          <a:ext cx="1907271" cy="1138465"/>
        </a:xfrm>
        <a:prstGeom prst="bentConnector3">
          <a:avLst>
            <a:gd name="adj1" fmla="val 476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190501</xdr:colOff>
      <xdr:row>9</xdr:row>
      <xdr:rowOff>172355</xdr:rowOff>
    </xdr:from>
    <xdr:to>
      <xdr:col>10</xdr:col>
      <xdr:colOff>31756</xdr:colOff>
      <xdr:row>14</xdr:row>
      <xdr:rowOff>134938</xdr:rowOff>
    </xdr:to>
    <xdr:cxnSp macro="">
      <xdr:nvCxnSpPr>
        <xdr:cNvPr id="9" name="Connector: Elbow 8">
          <a:extLst>
            <a:ext uri="{FF2B5EF4-FFF2-40B4-BE49-F238E27FC236}">
              <a16:creationId xmlns:a16="http://schemas.microsoft.com/office/drawing/2014/main" id="{5661A1D5-13CA-B559-FD38-E788A97C4296}"/>
            </a:ext>
          </a:extLst>
        </xdr:cNvPr>
        <xdr:cNvCxnSpPr/>
      </xdr:nvCxnSpPr>
      <xdr:spPr>
        <a:xfrm rot="10800000" flipV="1">
          <a:off x="21212736" y="2559208"/>
          <a:ext cx="2620314" cy="1587436"/>
        </a:xfrm>
        <a:prstGeom prst="bentConnector3">
          <a:avLst>
            <a:gd name="adj1" fmla="val 100000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436563</xdr:colOff>
      <xdr:row>10</xdr:row>
      <xdr:rowOff>172356</xdr:rowOff>
    </xdr:from>
    <xdr:to>
      <xdr:col>10</xdr:col>
      <xdr:colOff>22682</xdr:colOff>
      <xdr:row>18</xdr:row>
      <xdr:rowOff>150813</xdr:rowOff>
    </xdr:to>
    <xdr:cxnSp macro="">
      <xdr:nvCxnSpPr>
        <xdr:cNvPr id="26" name="Connector: Elbow 25">
          <a:extLst>
            <a:ext uri="{FF2B5EF4-FFF2-40B4-BE49-F238E27FC236}">
              <a16:creationId xmlns:a16="http://schemas.microsoft.com/office/drawing/2014/main" id="{4607A9E6-8858-4AA8-A3F9-35FCF59ECECF}"/>
            </a:ext>
          </a:extLst>
        </xdr:cNvPr>
        <xdr:cNvCxnSpPr/>
      </xdr:nvCxnSpPr>
      <xdr:spPr>
        <a:xfrm rot="5400000">
          <a:off x="21652594" y="2867885"/>
          <a:ext cx="2538777" cy="2451239"/>
        </a:xfrm>
        <a:prstGeom prst="bentConnector3">
          <a:avLst>
            <a:gd name="adj1" fmla="val -110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21393-5747-45D4-A495-C5A9324AA238}">
  <dimension ref="A1:K37"/>
  <sheetViews>
    <sheetView tabSelected="1" zoomScale="50" zoomScaleNormal="50" workbookViewId="0">
      <selection activeCell="A31" sqref="A31"/>
    </sheetView>
  </sheetViews>
  <sheetFormatPr defaultRowHeight="14.4" x14ac:dyDescent="0.3"/>
  <cols>
    <col min="1" max="1" width="42.21875" bestFit="1" customWidth="1"/>
    <col min="2" max="2" width="18.33203125" customWidth="1"/>
    <col min="3" max="3" width="17" bestFit="1" customWidth="1"/>
    <col min="4" max="4" width="21.21875" bestFit="1" customWidth="1"/>
    <col min="5" max="5" width="15.6640625" bestFit="1" customWidth="1"/>
    <col min="6" max="6" width="20" bestFit="1" customWidth="1"/>
    <col min="7" max="7" width="32.88671875" bestFit="1" customWidth="1"/>
  </cols>
  <sheetData>
    <row r="1" spans="1:11" ht="21" x14ac:dyDescent="0.4">
      <c r="A1" s="59" t="s">
        <v>37</v>
      </c>
      <c r="B1" s="59" t="s">
        <v>7</v>
      </c>
      <c r="C1" s="59" t="s">
        <v>3</v>
      </c>
      <c r="D1" s="59" t="s">
        <v>4</v>
      </c>
      <c r="E1" s="59" t="s">
        <v>5</v>
      </c>
      <c r="F1" s="59" t="s">
        <v>6</v>
      </c>
      <c r="G1" s="59" t="s">
        <v>19</v>
      </c>
      <c r="H1" s="47"/>
      <c r="I1" s="47"/>
      <c r="J1" s="47"/>
      <c r="K1" s="47"/>
    </row>
    <row r="2" spans="1:11" ht="21" x14ac:dyDescent="0.4">
      <c r="A2" s="47" t="s">
        <v>0</v>
      </c>
      <c r="B2" s="47">
        <v>1113</v>
      </c>
      <c r="C2" s="47">
        <v>863</v>
      </c>
      <c r="D2" s="47">
        <v>148</v>
      </c>
      <c r="E2" s="47">
        <v>24</v>
      </c>
      <c r="F2" s="47">
        <v>36</v>
      </c>
      <c r="G2" s="47">
        <v>42</v>
      </c>
      <c r="H2" s="47"/>
      <c r="I2" s="47"/>
      <c r="J2" s="47"/>
      <c r="K2" s="47"/>
    </row>
    <row r="3" spans="1:11" ht="21" x14ac:dyDescent="0.4">
      <c r="A3" s="47" t="s">
        <v>1</v>
      </c>
      <c r="B3" s="47">
        <v>12751</v>
      </c>
      <c r="C3" s="47">
        <v>863</v>
      </c>
      <c r="D3" s="47">
        <v>0</v>
      </c>
      <c r="E3" s="47">
        <v>0</v>
      </c>
      <c r="F3" s="47">
        <v>0</v>
      </c>
      <c r="G3" s="47"/>
      <c r="H3" s="47"/>
      <c r="I3" s="47"/>
      <c r="J3" s="47"/>
      <c r="K3" s="47"/>
    </row>
    <row r="4" spans="1:11" ht="21" x14ac:dyDescent="0.4">
      <c r="A4" s="47" t="s">
        <v>2</v>
      </c>
      <c r="B4" s="47">
        <v>2813</v>
      </c>
      <c r="C4" s="47">
        <v>0</v>
      </c>
      <c r="D4" s="47">
        <v>148</v>
      </c>
      <c r="E4" s="47">
        <v>0</v>
      </c>
      <c r="F4" s="47">
        <v>0</v>
      </c>
      <c r="G4" s="47"/>
      <c r="H4" s="47"/>
      <c r="I4" s="47"/>
      <c r="J4" s="47"/>
      <c r="K4" s="47"/>
    </row>
    <row r="5" spans="1:11" ht="21" x14ac:dyDescent="0.4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</row>
    <row r="6" spans="1:11" ht="21" x14ac:dyDescent="0.4">
      <c r="A6" s="47" t="s">
        <v>20</v>
      </c>
      <c r="B6" s="47">
        <f>SUM(B2:B4)</f>
        <v>16677</v>
      </c>
      <c r="C6" s="47"/>
      <c r="D6" s="47"/>
      <c r="E6" s="47"/>
      <c r="F6" s="47"/>
      <c r="G6" s="47"/>
      <c r="H6" s="47"/>
      <c r="I6" s="47"/>
      <c r="J6" s="47"/>
      <c r="K6" s="47"/>
    </row>
    <row r="7" spans="1:11" ht="21" x14ac:dyDescent="0.4">
      <c r="A7" s="47" t="s">
        <v>21</v>
      </c>
      <c r="B7" s="47">
        <f>SUM(B2:B4)-C3-D4</f>
        <v>15666</v>
      </c>
      <c r="C7" s="47"/>
      <c r="D7" s="47"/>
      <c r="E7" s="47"/>
      <c r="F7" s="47"/>
      <c r="G7" s="47"/>
      <c r="H7" s="47"/>
      <c r="I7" s="47"/>
      <c r="J7" s="47"/>
      <c r="K7" s="47"/>
    </row>
    <row r="8" spans="1:11" ht="21" x14ac:dyDescent="0.4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</row>
    <row r="9" spans="1:11" ht="21" x14ac:dyDescent="0.4">
      <c r="A9" s="59" t="s">
        <v>37</v>
      </c>
      <c r="B9" s="59" t="s">
        <v>28</v>
      </c>
      <c r="C9" s="59" t="s">
        <v>8</v>
      </c>
      <c r="D9" s="59" t="s">
        <v>29</v>
      </c>
      <c r="E9" s="47"/>
      <c r="F9" s="47"/>
      <c r="G9" s="47"/>
      <c r="H9" s="47"/>
      <c r="I9" s="47"/>
      <c r="J9" s="47"/>
      <c r="K9" s="47"/>
    </row>
    <row r="10" spans="1:11" ht="21" x14ac:dyDescent="0.4">
      <c r="A10" s="47" t="s">
        <v>9</v>
      </c>
      <c r="B10" s="47">
        <v>1113</v>
      </c>
      <c r="C10" s="47">
        <v>102</v>
      </c>
      <c r="D10" s="47"/>
      <c r="E10" s="47"/>
      <c r="F10" s="47"/>
      <c r="G10" s="47"/>
      <c r="H10" s="47"/>
      <c r="I10" s="47"/>
      <c r="J10" s="47"/>
      <c r="K10" s="47"/>
    </row>
    <row r="11" spans="1:11" ht="21" x14ac:dyDescent="0.4">
      <c r="A11" s="47" t="s">
        <v>10</v>
      </c>
      <c r="B11" s="47">
        <v>12751</v>
      </c>
      <c r="C11" s="47">
        <v>11888</v>
      </c>
      <c r="D11" s="47">
        <v>863</v>
      </c>
      <c r="E11" s="47"/>
      <c r="F11" s="47"/>
      <c r="G11" s="47"/>
      <c r="H11" s="47"/>
      <c r="I11" s="47"/>
      <c r="J11" s="47"/>
      <c r="K11" s="47"/>
    </row>
    <row r="12" spans="1:11" ht="21" x14ac:dyDescent="0.4">
      <c r="A12" s="47" t="s">
        <v>11</v>
      </c>
      <c r="B12" s="47">
        <v>2813</v>
      </c>
      <c r="C12" s="47">
        <v>2665</v>
      </c>
      <c r="D12" s="47">
        <v>148</v>
      </c>
      <c r="E12" s="47"/>
      <c r="F12" s="47"/>
      <c r="G12" s="47"/>
      <c r="H12" s="47"/>
      <c r="I12" s="47"/>
      <c r="J12" s="47"/>
      <c r="K12" s="47"/>
    </row>
    <row r="13" spans="1:11" ht="21" x14ac:dyDescent="0.4">
      <c r="A13" s="47" t="s">
        <v>18</v>
      </c>
      <c r="B13" s="47">
        <f>SUM(B10:B12)</f>
        <v>16677</v>
      </c>
      <c r="C13" s="47">
        <f t="shared" ref="C13:D13" si="0">SUM(C10:C12)</f>
        <v>14655</v>
      </c>
      <c r="D13" s="47">
        <f t="shared" si="0"/>
        <v>1011</v>
      </c>
      <c r="E13" s="47"/>
      <c r="F13" s="47"/>
      <c r="G13" s="47"/>
      <c r="H13" s="47"/>
      <c r="I13" s="47"/>
      <c r="J13" s="47"/>
      <c r="K13" s="47"/>
    </row>
    <row r="14" spans="1:11" ht="21" x14ac:dyDescent="0.4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</row>
    <row r="15" spans="1:11" ht="21" x14ac:dyDescent="0.4">
      <c r="A15" s="59" t="s">
        <v>37</v>
      </c>
      <c r="B15" s="59" t="s">
        <v>27</v>
      </c>
      <c r="C15" s="59" t="s">
        <v>25</v>
      </c>
      <c r="D15" s="59" t="s">
        <v>26</v>
      </c>
      <c r="E15" s="59"/>
      <c r="F15" s="59"/>
      <c r="G15" s="59"/>
      <c r="H15" s="47"/>
      <c r="I15" s="47"/>
      <c r="J15" s="47"/>
      <c r="K15" s="47"/>
    </row>
    <row r="16" spans="1:11" ht="21" x14ac:dyDescent="0.4">
      <c r="A16" s="47" t="s">
        <v>9</v>
      </c>
      <c r="B16" s="48">
        <f>B10/B$7</f>
        <v>7.1045576407506708E-2</v>
      </c>
      <c r="C16" s="49">
        <f>C10/$B$7</f>
        <v>6.5109153581003444E-3</v>
      </c>
      <c r="D16" s="49"/>
      <c r="E16" s="50"/>
      <c r="F16" s="50"/>
      <c r="G16" s="47"/>
      <c r="H16" s="47"/>
      <c r="I16" s="47"/>
      <c r="J16" s="47"/>
      <c r="K16" s="47"/>
    </row>
    <row r="17" spans="1:11" ht="21" x14ac:dyDescent="0.4">
      <c r="A17" s="47" t="s">
        <v>10</v>
      </c>
      <c r="B17" s="48">
        <f>B11/B$7</f>
        <v>0.81392825226605392</v>
      </c>
      <c r="C17" s="49">
        <f>C11/$B$7</f>
        <v>0.75884080173624413</v>
      </c>
      <c r="D17" s="49">
        <f>D11/$B$7</f>
        <v>5.5087450529809782E-2</v>
      </c>
      <c r="E17" s="50"/>
      <c r="F17" s="50"/>
      <c r="G17" s="47"/>
      <c r="H17" s="47"/>
      <c r="I17" s="47"/>
      <c r="J17" s="47"/>
      <c r="K17" s="47"/>
    </row>
    <row r="18" spans="1:11" ht="21" x14ac:dyDescent="0.4">
      <c r="A18" s="47" t="s">
        <v>11</v>
      </c>
      <c r="B18" s="48">
        <f>B12/B$7</f>
        <v>0.17956083237584577</v>
      </c>
      <c r="C18" s="49">
        <f>C12/$B$7</f>
        <v>0.1701136218562492</v>
      </c>
      <c r="D18" s="49">
        <f>D12/$B$7</f>
        <v>9.4472105195965786E-3</v>
      </c>
      <c r="E18" s="50"/>
      <c r="F18" s="50"/>
      <c r="G18" s="47"/>
      <c r="H18" s="47"/>
      <c r="I18" s="47"/>
      <c r="J18" s="47"/>
      <c r="K18" s="47"/>
    </row>
    <row r="19" spans="1:11" ht="21" x14ac:dyDescent="0.4">
      <c r="A19" s="50"/>
      <c r="B19" s="50"/>
      <c r="C19" s="50"/>
      <c r="D19" s="47"/>
      <c r="E19" s="50"/>
      <c r="F19" s="50"/>
      <c r="G19" s="47"/>
      <c r="H19" s="47"/>
      <c r="I19" s="47"/>
      <c r="J19" s="47"/>
      <c r="K19" s="47"/>
    </row>
    <row r="20" spans="1:11" ht="21" x14ac:dyDescent="0.4">
      <c r="B20" s="51"/>
      <c r="C20" s="52"/>
      <c r="D20" s="47"/>
      <c r="K20" s="47"/>
    </row>
    <row r="21" spans="1:11" ht="21" x14ac:dyDescent="0.4">
      <c r="A21" s="50"/>
      <c r="B21" s="54"/>
      <c r="C21" s="54"/>
      <c r="D21" s="55"/>
      <c r="K21" s="47"/>
    </row>
    <row r="22" spans="1:11" ht="21" x14ac:dyDescent="0.4">
      <c r="A22" s="50"/>
      <c r="B22" s="50"/>
      <c r="C22" s="50"/>
      <c r="D22" s="56"/>
      <c r="K22" s="47"/>
    </row>
    <row r="23" spans="1:11" ht="21" x14ac:dyDescent="0.4">
      <c r="A23" s="54" t="s">
        <v>38</v>
      </c>
      <c r="B23" s="50"/>
      <c r="C23" s="50"/>
      <c r="D23" s="56"/>
      <c r="K23" s="47"/>
    </row>
    <row r="24" spans="1:11" ht="42" x14ac:dyDescent="0.4">
      <c r="A24" s="50" t="s">
        <v>24</v>
      </c>
      <c r="B24" s="50">
        <v>370</v>
      </c>
      <c r="C24" s="50"/>
      <c r="D24" s="56"/>
      <c r="E24" s="53" t="s">
        <v>39</v>
      </c>
      <c r="F24" s="50"/>
      <c r="G24" s="47"/>
      <c r="H24" s="47"/>
      <c r="I24" s="47"/>
      <c r="J24" s="47"/>
      <c r="K24" s="47"/>
    </row>
    <row r="25" spans="1:11" ht="21" x14ac:dyDescent="0.4">
      <c r="A25" s="47" t="s">
        <v>31</v>
      </c>
      <c r="B25" s="50"/>
      <c r="C25" s="50"/>
      <c r="D25" s="57"/>
      <c r="E25" s="59" t="s">
        <v>37</v>
      </c>
      <c r="F25" s="54" t="s">
        <v>22</v>
      </c>
      <c r="G25" s="59" t="s">
        <v>23</v>
      </c>
      <c r="H25" s="47"/>
      <c r="I25" s="47"/>
      <c r="J25" s="47"/>
      <c r="K25" s="47"/>
    </row>
    <row r="26" spans="1:11" ht="21" x14ac:dyDescent="0.4">
      <c r="A26" s="47">
        <v>396</v>
      </c>
      <c r="B26" s="47"/>
      <c r="C26" s="47"/>
      <c r="D26" s="58"/>
      <c r="E26" s="56" t="s">
        <v>0</v>
      </c>
      <c r="F26" s="50">
        <f>C16*$B$24</f>
        <v>2.4090386824971275</v>
      </c>
      <c r="G26" s="50"/>
      <c r="H26" s="47"/>
      <c r="I26" s="47">
        <v>3</v>
      </c>
      <c r="J26" s="47"/>
      <c r="K26" s="47"/>
    </row>
    <row r="27" spans="1:11" ht="21" x14ac:dyDescent="0.4">
      <c r="A27" s="47">
        <v>402</v>
      </c>
      <c r="B27" s="47"/>
      <c r="C27" s="47"/>
      <c r="D27" s="56"/>
      <c r="E27" s="56" t="s">
        <v>10</v>
      </c>
      <c r="F27" s="50">
        <f>C17*$B$24</f>
        <v>280.77109664241033</v>
      </c>
      <c r="G27" s="50">
        <f>D17*$B$24</f>
        <v>20.382356696029621</v>
      </c>
      <c r="H27" s="47"/>
      <c r="I27" s="47">
        <v>280</v>
      </c>
      <c r="J27" s="47">
        <v>20</v>
      </c>
      <c r="K27" s="47"/>
    </row>
    <row r="28" spans="1:11" ht="21" x14ac:dyDescent="0.4">
      <c r="A28" s="47">
        <v>365</v>
      </c>
      <c r="B28" s="47"/>
      <c r="C28" s="47"/>
      <c r="D28" s="56"/>
      <c r="E28" s="60" t="s">
        <v>2</v>
      </c>
      <c r="F28" s="50">
        <f>C18*$B$24</f>
        <v>62.942040086812206</v>
      </c>
      <c r="G28" s="50">
        <f>D18*$B$24</f>
        <v>3.4954678922507343</v>
      </c>
      <c r="H28" s="47"/>
      <c r="I28" s="47">
        <v>66</v>
      </c>
      <c r="J28" s="47">
        <v>4</v>
      </c>
      <c r="K28" s="47"/>
    </row>
    <row r="29" spans="1:11" ht="21" x14ac:dyDescent="0.4">
      <c r="A29" s="47">
        <v>400</v>
      </c>
      <c r="B29" s="47"/>
      <c r="C29" s="47"/>
      <c r="D29" s="47"/>
      <c r="H29" s="47"/>
      <c r="I29" s="47"/>
      <c r="J29" s="47"/>
      <c r="K29" s="47"/>
    </row>
    <row r="30" spans="1:11" ht="21" x14ac:dyDescent="0.4">
      <c r="A30" s="47">
        <v>428</v>
      </c>
      <c r="B30" s="47"/>
      <c r="C30" s="47"/>
      <c r="D30" s="47"/>
      <c r="E30" s="59" t="s">
        <v>40</v>
      </c>
      <c r="F30" s="47"/>
      <c r="G30" s="47"/>
      <c r="H30" s="47"/>
      <c r="I30" s="47"/>
      <c r="J30" s="47"/>
      <c r="K30" s="47"/>
    </row>
    <row r="31" spans="1:11" ht="21" x14ac:dyDescent="0.4">
      <c r="A31" s="47"/>
      <c r="B31" s="47"/>
      <c r="C31" s="47"/>
      <c r="D31" s="47"/>
      <c r="E31" s="59" t="s">
        <v>37</v>
      </c>
      <c r="F31" s="54" t="s">
        <v>22</v>
      </c>
      <c r="G31" s="59" t="s">
        <v>23</v>
      </c>
      <c r="H31" s="47"/>
      <c r="I31" s="47"/>
      <c r="J31" s="47"/>
      <c r="K31" s="47"/>
    </row>
    <row r="32" spans="1:11" ht="21" x14ac:dyDescent="0.4">
      <c r="A32" s="47"/>
      <c r="B32" s="47"/>
      <c r="C32" s="47"/>
      <c r="D32" s="47"/>
      <c r="E32" s="56" t="s">
        <v>0</v>
      </c>
      <c r="F32" s="47">
        <v>3</v>
      </c>
      <c r="G32" s="47"/>
      <c r="H32" s="47"/>
      <c r="I32" s="47"/>
      <c r="J32" s="47"/>
      <c r="K32" s="47"/>
    </row>
    <row r="33" spans="1:11" ht="21" x14ac:dyDescent="0.4">
      <c r="A33" s="47"/>
      <c r="B33" s="47"/>
      <c r="C33" s="47"/>
      <c r="D33" s="47"/>
      <c r="E33" s="56" t="s">
        <v>10</v>
      </c>
      <c r="F33" s="47">
        <v>280</v>
      </c>
      <c r="G33" s="47">
        <v>20</v>
      </c>
      <c r="H33" s="47"/>
      <c r="I33" s="47"/>
      <c r="J33" s="47"/>
      <c r="K33" s="47"/>
    </row>
    <row r="34" spans="1:11" ht="21" x14ac:dyDescent="0.4">
      <c r="A34" s="47"/>
      <c r="B34" s="47"/>
      <c r="C34" s="47"/>
      <c r="D34" s="47"/>
      <c r="E34" s="60" t="s">
        <v>2</v>
      </c>
      <c r="F34" s="47">
        <v>63</v>
      </c>
      <c r="G34" s="47">
        <v>4</v>
      </c>
      <c r="H34" s="47"/>
      <c r="I34" s="47"/>
      <c r="J34" s="47"/>
      <c r="K34" s="47"/>
    </row>
    <row r="35" spans="1:11" ht="21" x14ac:dyDescent="0.4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</row>
    <row r="36" spans="1:11" ht="21" x14ac:dyDescent="0.4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</row>
    <row r="37" spans="1:11" ht="21" x14ac:dyDescent="0.4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42960-5DB8-4C0B-9944-44D591FAEA72}">
  <dimension ref="A2:AZ43"/>
  <sheetViews>
    <sheetView topLeftCell="A5" zoomScale="50" zoomScaleNormal="50" workbookViewId="0">
      <selection activeCell="AB5" sqref="A1:AB1048576"/>
    </sheetView>
  </sheetViews>
  <sheetFormatPr defaultRowHeight="14.4" x14ac:dyDescent="0.3"/>
  <cols>
    <col min="2" max="23" width="10.44140625" customWidth="1"/>
  </cols>
  <sheetData>
    <row r="2" spans="1:52" x14ac:dyDescent="0.3">
      <c r="A2" s="1"/>
      <c r="B2" s="1" t="s">
        <v>32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5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5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52" ht="25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52" ht="25.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25.5" customHeight="1" x14ac:dyDescent="0.4">
      <c r="A7" s="1"/>
      <c r="B7" s="1"/>
      <c r="C7" s="1"/>
      <c r="D7" s="1"/>
      <c r="E7" s="1"/>
      <c r="F7" s="1"/>
      <c r="G7" s="1"/>
      <c r="H7" s="6"/>
      <c r="I7" s="1"/>
      <c r="J7" s="1"/>
      <c r="K7" s="20" t="s">
        <v>17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25.5" customHeight="1" x14ac:dyDescent="0.4">
      <c r="A8" s="1"/>
      <c r="B8" s="17" t="s">
        <v>15</v>
      </c>
      <c r="C8" s="37"/>
      <c r="D8" s="37"/>
      <c r="E8" s="37"/>
      <c r="F8" s="37"/>
      <c r="G8" s="38"/>
      <c r="H8" s="6"/>
      <c r="I8" s="1"/>
      <c r="J8" s="1"/>
      <c r="K8" s="21" t="s">
        <v>14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25.5" customHeight="1" x14ac:dyDescent="0.3">
      <c r="A9" s="1"/>
      <c r="B9" s="18" t="s">
        <v>12</v>
      </c>
      <c r="C9" s="39"/>
      <c r="D9" s="39"/>
      <c r="E9" s="39"/>
      <c r="F9" s="39"/>
      <c r="G9" s="40"/>
      <c r="H9" s="1"/>
      <c r="I9" s="1"/>
      <c r="J9" s="1"/>
      <c r="K9" s="22" t="s">
        <v>33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25.5" customHeight="1" x14ac:dyDescent="0.3">
      <c r="A10" s="1"/>
      <c r="B10" s="19" t="s">
        <v>30</v>
      </c>
      <c r="C10" s="39"/>
      <c r="D10" s="39"/>
      <c r="E10" s="39"/>
      <c r="F10" s="39"/>
      <c r="G10" s="40"/>
      <c r="H10" s="1"/>
      <c r="I10" s="1"/>
      <c r="J10" s="1"/>
      <c r="K10" s="23" t="s">
        <v>34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25.5" customHeight="1" x14ac:dyDescent="0.3">
      <c r="A11" s="1"/>
      <c r="B11" s="41"/>
      <c r="C11" s="39"/>
      <c r="D11" s="39"/>
      <c r="E11" s="39"/>
      <c r="F11" s="39"/>
      <c r="G11" s="40"/>
      <c r="H11" s="1"/>
      <c r="I11" s="1"/>
      <c r="J11" s="1"/>
      <c r="K11" s="24" t="s">
        <v>35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25.5" customHeight="1" x14ac:dyDescent="0.3">
      <c r="A12" s="1"/>
      <c r="B12" s="41"/>
      <c r="C12" s="39"/>
      <c r="D12" s="39"/>
      <c r="E12" s="39"/>
      <c r="F12" s="39"/>
      <c r="G12" s="40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25.5" customHeight="1" x14ac:dyDescent="0.3">
      <c r="A13" s="1"/>
      <c r="B13" s="41"/>
      <c r="C13" s="39"/>
      <c r="D13" s="39"/>
      <c r="E13" s="39"/>
      <c r="F13" s="39"/>
      <c r="G13" s="40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25.5" customHeight="1" thickBot="1" x14ac:dyDescent="0.35">
      <c r="A14" s="1"/>
      <c r="B14" s="41"/>
      <c r="C14" s="39"/>
      <c r="D14" s="39"/>
      <c r="E14" s="39"/>
      <c r="F14" s="39"/>
      <c r="G14" s="40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4"/>
      <c r="AH14" s="4"/>
      <c r="AI14" s="4"/>
      <c r="AJ14" s="4"/>
      <c r="AK14" s="4"/>
      <c r="AL14" s="4"/>
      <c r="AM14" s="4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t="25.5" customHeight="1" x14ac:dyDescent="0.4">
      <c r="A15" s="1"/>
      <c r="B15" s="41"/>
      <c r="C15" s="39"/>
      <c r="D15" s="39"/>
      <c r="E15" s="39"/>
      <c r="F15" s="39"/>
      <c r="G15" s="42"/>
      <c r="H15" s="27"/>
      <c r="I15" s="27"/>
      <c r="J15" s="28"/>
      <c r="K15" s="25" t="s">
        <v>16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8"/>
      <c r="X15" s="1"/>
      <c r="Y15" s="1"/>
      <c r="Z15" s="1"/>
      <c r="AA15" s="1"/>
      <c r="AB15" s="1"/>
      <c r="AC15" s="1"/>
      <c r="AD15" s="1"/>
      <c r="AE15" s="1"/>
      <c r="AF15" s="1"/>
      <c r="AG15" s="4"/>
      <c r="AH15" s="4"/>
      <c r="AI15" s="4"/>
      <c r="AJ15" s="4"/>
      <c r="AK15" s="4"/>
      <c r="AL15" s="4"/>
      <c r="AM15" s="4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ht="25.5" customHeight="1" x14ac:dyDescent="0.3">
      <c r="A16" s="1"/>
      <c r="B16" s="41"/>
      <c r="C16" s="39"/>
      <c r="D16" s="39"/>
      <c r="E16" s="39"/>
      <c r="F16" s="39"/>
      <c r="G16" s="43"/>
      <c r="H16" s="10"/>
      <c r="I16" s="10"/>
      <c r="J16" s="29"/>
      <c r="K16" s="26" t="s">
        <v>13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2"/>
      <c r="X16" s="1"/>
      <c r="Y16" s="1"/>
      <c r="Z16" s="1"/>
      <c r="AA16" s="1"/>
      <c r="AB16" s="1"/>
      <c r="AC16" s="1"/>
      <c r="AD16" s="1"/>
      <c r="AE16" s="1"/>
      <c r="AF16" s="1"/>
      <c r="AG16" s="4"/>
      <c r="AH16" s="4"/>
      <c r="AI16" s="4"/>
      <c r="AJ16" s="4"/>
      <c r="AK16" s="4"/>
      <c r="AL16" s="4"/>
      <c r="AM16" s="4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t="25.5" customHeight="1" x14ac:dyDescent="0.3">
      <c r="A17" s="1"/>
      <c r="B17" s="41"/>
      <c r="C17" s="39"/>
      <c r="D17" s="39"/>
      <c r="E17" s="39"/>
      <c r="F17" s="39"/>
      <c r="G17" s="43"/>
      <c r="H17" s="10"/>
      <c r="I17" s="10"/>
      <c r="J17" s="29"/>
      <c r="K17" s="5" t="s">
        <v>36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2"/>
      <c r="X17" s="1"/>
      <c r="Y17" s="1"/>
      <c r="Z17" s="1"/>
      <c r="AA17" s="1"/>
      <c r="AB17" s="1"/>
      <c r="AC17" s="1"/>
      <c r="AD17" s="1"/>
      <c r="AE17" s="1"/>
      <c r="AF17" s="1"/>
      <c r="AG17" s="4"/>
      <c r="AH17" s="4"/>
      <c r="AI17" s="4"/>
      <c r="AJ17" s="4"/>
      <c r="AK17" s="4"/>
      <c r="AL17" s="4"/>
      <c r="AM17" s="4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25.5" customHeight="1" x14ac:dyDescent="0.3">
      <c r="A18" s="1"/>
      <c r="B18" s="44"/>
      <c r="C18" s="45"/>
      <c r="D18" s="45"/>
      <c r="E18" s="45"/>
      <c r="F18" s="45"/>
      <c r="G18" s="46"/>
      <c r="H18" s="10"/>
      <c r="I18" s="30"/>
      <c r="J18" s="29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2"/>
      <c r="X18" s="1"/>
      <c r="Y18" s="1"/>
      <c r="Z18" s="1"/>
      <c r="AA18" s="1"/>
      <c r="AB18" s="1"/>
      <c r="AC18" s="1"/>
      <c r="AD18" s="1"/>
      <c r="AE18" s="1"/>
      <c r="AF18" s="1"/>
      <c r="AG18" s="4"/>
      <c r="AH18" s="4"/>
      <c r="AI18" s="4"/>
      <c r="AJ18" s="4"/>
      <c r="AK18" s="4"/>
      <c r="AL18" s="4"/>
      <c r="AM18" s="4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25.5" customHeight="1" x14ac:dyDescent="0.3">
      <c r="A19" s="1"/>
      <c r="B19" s="6"/>
      <c r="C19" s="6"/>
      <c r="D19" s="6"/>
      <c r="E19" s="6"/>
      <c r="F19" s="6"/>
      <c r="G19" s="31"/>
      <c r="H19" s="9"/>
      <c r="I19" s="30"/>
      <c r="J19" s="29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2"/>
      <c r="X19" s="1"/>
      <c r="Y19" s="1"/>
      <c r="Z19" s="1"/>
      <c r="AA19" s="1"/>
      <c r="AB19" s="1"/>
      <c r="AC19" s="1"/>
      <c r="AD19" s="1"/>
      <c r="AE19" s="1"/>
      <c r="AF19" s="1"/>
      <c r="AG19" s="4"/>
      <c r="AH19" s="4"/>
      <c r="AI19" s="4"/>
      <c r="AJ19" s="4"/>
      <c r="AK19" s="4"/>
      <c r="AL19" s="4"/>
      <c r="AM19" s="4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25.5" customHeight="1" x14ac:dyDescent="0.3">
      <c r="A20" s="1"/>
      <c r="B20" s="6"/>
      <c r="C20" s="6"/>
      <c r="D20" s="6"/>
      <c r="E20" s="6"/>
      <c r="F20" s="6"/>
      <c r="G20" s="31"/>
      <c r="H20" s="9"/>
      <c r="I20" s="30"/>
      <c r="J20" s="29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2"/>
      <c r="X20" s="1"/>
      <c r="Y20" s="1"/>
      <c r="Z20" s="1"/>
      <c r="AA20" s="1"/>
      <c r="AB20" s="1"/>
      <c r="AC20" s="1"/>
      <c r="AD20" s="1"/>
      <c r="AE20" s="1"/>
      <c r="AF20" s="1"/>
      <c r="AG20" s="4"/>
      <c r="AH20" s="4"/>
      <c r="AI20" s="4"/>
      <c r="AJ20" s="4"/>
      <c r="AK20" s="4"/>
      <c r="AL20" s="4"/>
      <c r="AM20" s="4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25.5" customHeight="1" thickBot="1" x14ac:dyDescent="0.35">
      <c r="A21" s="1"/>
      <c r="B21" s="6"/>
      <c r="C21" s="6"/>
      <c r="D21" s="6"/>
      <c r="E21" s="6"/>
      <c r="F21" s="6"/>
      <c r="G21" s="32"/>
      <c r="H21" s="33"/>
      <c r="I21" s="34"/>
      <c r="J21" s="35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2"/>
      <c r="X21" s="1"/>
      <c r="Y21" s="1"/>
      <c r="Z21" s="1"/>
      <c r="AA21" s="1"/>
      <c r="AB21" s="1"/>
      <c r="AC21" s="1"/>
      <c r="AD21" s="1"/>
      <c r="AE21" s="1"/>
      <c r="AF21" s="1"/>
      <c r="AG21" s="4"/>
      <c r="AH21" s="4"/>
      <c r="AI21" s="4"/>
      <c r="AJ21" s="4"/>
      <c r="AK21" s="4"/>
      <c r="AL21" s="4"/>
      <c r="AM21" s="4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25.5" customHeight="1" x14ac:dyDescent="0.3">
      <c r="A22" s="1"/>
      <c r="B22" s="6"/>
      <c r="C22" s="6"/>
      <c r="D22" s="6"/>
      <c r="E22" s="6"/>
      <c r="F22" s="6"/>
      <c r="G22" s="6"/>
      <c r="H22" s="13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2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25.5" customHeight="1" x14ac:dyDescent="0.3">
      <c r="A23" s="1"/>
      <c r="B23" s="6"/>
      <c r="C23" s="6"/>
      <c r="D23" s="6"/>
      <c r="E23" s="6"/>
      <c r="F23" s="6"/>
      <c r="G23" s="6"/>
      <c r="H23" s="13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2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25.5" customHeight="1" x14ac:dyDescent="0.3">
      <c r="A24" s="1"/>
      <c r="B24" s="6"/>
      <c r="C24" s="6"/>
      <c r="D24" s="6"/>
      <c r="E24" s="6"/>
      <c r="F24" s="6"/>
      <c r="G24" s="6"/>
      <c r="H24" s="13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2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25.5" customHeight="1" x14ac:dyDescent="0.3">
      <c r="A25" s="1"/>
      <c r="B25" s="6"/>
      <c r="C25" s="6"/>
      <c r="D25" s="6"/>
      <c r="E25" s="6"/>
      <c r="F25" s="6"/>
      <c r="G25" s="6"/>
      <c r="H25" s="13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2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25.5" customHeight="1" x14ac:dyDescent="0.3">
      <c r="A26" s="1"/>
      <c r="B26" s="6"/>
      <c r="C26" s="6"/>
      <c r="D26" s="6"/>
      <c r="E26" s="6"/>
      <c r="F26" s="6"/>
      <c r="G26" s="6"/>
      <c r="H26" s="13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2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25.5" customHeight="1" x14ac:dyDescent="0.3">
      <c r="A27" s="1"/>
      <c r="B27" s="6"/>
      <c r="C27" s="6"/>
      <c r="D27" s="6"/>
      <c r="E27" s="6"/>
      <c r="F27" s="6"/>
      <c r="G27" s="6"/>
      <c r="H27" s="13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2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25.5" customHeight="1" x14ac:dyDescent="0.3">
      <c r="A28" s="1"/>
      <c r="B28" s="6"/>
      <c r="C28" s="6"/>
      <c r="D28" s="6"/>
      <c r="E28" s="6"/>
      <c r="F28" s="6"/>
      <c r="G28" s="6"/>
      <c r="H28" s="13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2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25.5" customHeight="1" x14ac:dyDescent="0.3">
      <c r="A29" s="1"/>
      <c r="B29" s="6"/>
      <c r="C29" s="6"/>
      <c r="D29" s="6"/>
      <c r="E29" s="6"/>
      <c r="F29" s="6"/>
      <c r="G29" s="6"/>
      <c r="H29" s="13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2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25.5" customHeight="1" x14ac:dyDescent="0.3">
      <c r="A30" s="1"/>
      <c r="B30" s="6"/>
      <c r="C30" s="6"/>
      <c r="D30" s="6"/>
      <c r="E30" s="6"/>
      <c r="F30" s="6"/>
      <c r="G30" s="6"/>
      <c r="H30" s="13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2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25.5" customHeight="1" x14ac:dyDescent="0.3">
      <c r="A31" s="1"/>
      <c r="B31" s="1"/>
      <c r="C31" s="1"/>
      <c r="D31" s="1"/>
      <c r="E31" s="1"/>
      <c r="F31" s="1"/>
      <c r="G31" s="1"/>
      <c r="H31" s="13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2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25.5" customHeight="1" x14ac:dyDescent="0.3">
      <c r="A32" s="1"/>
      <c r="B32" s="1"/>
      <c r="C32" s="1"/>
      <c r="D32" s="1"/>
      <c r="E32" s="1"/>
      <c r="F32" s="1"/>
      <c r="G32" s="1"/>
      <c r="H32" s="13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2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25.5" customHeight="1" x14ac:dyDescent="0.3">
      <c r="A33" s="1"/>
      <c r="B33" s="1"/>
      <c r="C33" s="1"/>
      <c r="D33" s="1"/>
      <c r="E33" s="1"/>
      <c r="F33" s="1"/>
      <c r="G33" s="1"/>
      <c r="H33" s="14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6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25.5" customHeight="1" x14ac:dyDescent="0.3">
      <c r="A34" s="1"/>
      <c r="B34" s="1"/>
      <c r="C34" s="1"/>
      <c r="D34" s="1"/>
      <c r="E34" s="1"/>
      <c r="F34" s="1"/>
      <c r="G34" s="1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40" spans="1:52" x14ac:dyDescent="0.3">
      <c r="C40" s="2" t="s">
        <v>22</v>
      </c>
      <c r="D40" t="s">
        <v>23</v>
      </c>
    </row>
    <row r="41" spans="1:52" x14ac:dyDescent="0.3">
      <c r="B41" s="3" t="s">
        <v>0</v>
      </c>
      <c r="C41">
        <v>3</v>
      </c>
    </row>
    <row r="42" spans="1:52" x14ac:dyDescent="0.3">
      <c r="B42" s="3" t="s">
        <v>10</v>
      </c>
      <c r="C42">
        <v>280</v>
      </c>
      <c r="D42">
        <v>20</v>
      </c>
    </row>
    <row r="43" spans="1:52" x14ac:dyDescent="0.3">
      <c r="B43" t="s">
        <v>2</v>
      </c>
      <c r="C43">
        <v>63</v>
      </c>
      <c r="D43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VennDiagram_TaxonOverlap</vt:lpstr>
      <vt:lpstr>VennDiagram_vis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Ginda, Michael Patrick</cp:lastModifiedBy>
  <dcterms:created xsi:type="dcterms:W3CDTF">2025-02-24T15:02:12Z</dcterms:created>
  <dcterms:modified xsi:type="dcterms:W3CDTF">2025-06-06T18:25:19Z</dcterms:modified>
</cp:coreProperties>
</file>